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c" sheetId="1" state="visible" r:id="rId1"/>
    <sheet name="Backlog" sheetId="2" state="visible" r:id="rId2"/>
    <sheet name="Synthè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FFFFFF"/>
      <sz val="12"/>
    </font>
    <font>
      <name val="Arial"/>
      <color rgb="001F2937"/>
      <sz val="10"/>
    </font>
    <font>
      <name val="Arial"/>
      <b val="1"/>
      <color rgb="00FFFFFF"/>
      <sz val="11"/>
    </font>
    <font>
      <name val="Arial"/>
      <b val="1"/>
      <color rgb="00991B1B"/>
      <sz val="10"/>
    </font>
    <font>
      <name val="Arial"/>
      <b val="1"/>
      <color rgb="009A3412"/>
      <sz val="10"/>
    </font>
    <font>
      <name val="Arial"/>
      <b val="1"/>
      <color rgb="001F2937"/>
      <sz val="10"/>
    </font>
    <font>
      <name val="Arial"/>
      <b val="1"/>
      <color rgb="00854D0E"/>
      <sz val="10"/>
    </font>
  </fonts>
  <fills count="7">
    <fill>
      <patternFill/>
    </fill>
    <fill>
      <patternFill patternType="gray125"/>
    </fill>
    <fill>
      <patternFill patternType="solid">
        <fgColor rgb="000EA5E9"/>
      </patternFill>
    </fill>
    <fill>
      <patternFill patternType="solid">
        <fgColor rgb="001F2937"/>
      </patternFill>
    </fill>
    <fill>
      <patternFill patternType="solid">
        <fgColor rgb="00FECACA"/>
      </patternFill>
    </fill>
    <fill>
      <patternFill patternType="solid">
        <fgColor rgb="00FED7AA"/>
      </patternFill>
    </fill>
    <fill>
      <patternFill patternType="solid">
        <fgColor rgb="00FEF08A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indent="1"/>
    </xf>
    <xf numFmtId="0" fontId="4" fillId="0" borderId="0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7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9" fillId="6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3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8" fillId="0" borderId="1" pivotButton="0" quotePrefix="0" xfId="0"/>
    <xf numFmtId="0" fontId="6" fillId="4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Sentinel 2027 — Epic : Optimisation de la visibilité et de la traçabilité</t>
        </is>
      </c>
    </row>
    <row r="2">
      <c r="A2" s="2" t="inlineStr">
        <is>
          <t>Produit : VulnContext — Gestionnaire de vulnérabilités contextuel (vuln_manager.html)  ·  Statut : En avancement (mode advance)  ·  Horizon : 2027</t>
        </is>
      </c>
    </row>
    <row r="4" ht="20" customHeight="1">
      <c r="A4" s="3" t="inlineStr">
        <is>
          <t>Contexte</t>
        </is>
      </c>
    </row>
    <row r="5" ht="30" customHeight="1">
      <c r="A5" s="4" t="inlineStr">
        <is>
          <t>VulnContext calcule un score de risque contextualisé (CVSS → score ajusté) et génère un billet de vulnérabilité via IA, mais reste 100% client-side et sans mémoire.</t>
        </is>
      </c>
    </row>
    <row r="6" ht="15" customHeight="1">
      <c r="A6" s="4" t="inlineStr">
        <is>
          <t>•  Aucune persistance : l'état vit uniquement en mémoire JS et disparaît au rafraîchissement de la page.</t>
        </is>
      </c>
    </row>
    <row r="7" ht="15" customHeight="1">
      <c r="A7" s="4" t="inlineStr">
        <is>
          <t>•  Aucune trace de qui a créé/modifié/clôturé un billet, ni quand.</t>
        </is>
      </c>
    </row>
    <row r="8" ht="15" customHeight="1">
      <c r="A8" s="4" t="inlineStr">
        <is>
          <t>•  Aucun historique des ajustements de score dans le temps.</t>
        </is>
      </c>
    </row>
    <row r="9" ht="15" customHeight="1">
      <c r="A9" s="4" t="inlineStr">
        <is>
          <t>•  Aucun tableau de bord agrégé au-delà des 4 compteurs KPI instantanés.</t>
        </is>
      </c>
    </row>
    <row r="10" ht="15" customHeight="1">
      <c r="A10" s="4" t="inlineStr">
        <is>
          <t>•  Aucun statut de cycle de vie du billet (nouveau, en cours, résolu, risque accepté...).</t>
        </is>
      </c>
    </row>
    <row r="11" ht="15" customHeight="1">
      <c r="A11" s="4" t="inlineStr">
        <is>
          <t>•  Aucune intégration réelle avec Microsoft Sentinel / MDVM.</t>
        </is>
      </c>
    </row>
    <row r="12" ht="15" customHeight="1">
      <c r="A12" s="4" t="inlineStr">
        <is>
          <t>•  Aucun contrôle d'accès ni notion d'auteur.</t>
        </is>
      </c>
    </row>
    <row r="14" ht="20" customHeight="1">
      <c r="A14" s="3" t="inlineStr">
        <is>
          <t>Objectifs mesurables (Definition of Done de l'epic)</t>
        </is>
      </c>
    </row>
    <row r="15" ht="15" customHeight="1">
      <c r="A15" s="4" t="inlineStr">
        <is>
          <t>•  100% des vulnérabilités et de leurs modifications sont persistées et attribuables à un auteur + horodatage.</t>
        </is>
      </c>
    </row>
    <row r="16" ht="15" customHeight="1">
      <c r="A16" s="4" t="inlineStr">
        <is>
          <t>•  Le RSSI peut reconstituer l'historique complet des décisions de n'importe quel billet sans accès aux logs bruts.</t>
        </is>
      </c>
    </row>
    <row r="17" ht="15" customHeight="1">
      <c r="A17" s="4" t="inlineStr">
        <is>
          <t>•  Un tableau de bord affiche les tendances (ouverts/résolus, respect SLA) sur au moins 90 jours glissants.</t>
        </is>
      </c>
    </row>
    <row r="18" ht="15" customHeight="1">
      <c r="A18" s="4" t="inlineStr">
        <is>
          <t>•  Aucune perte de données possible lors d'un rafraîchissement de navigateur ou d'un changement de poste.</t>
        </is>
      </c>
    </row>
    <row r="20" ht="20" customHeight="1">
      <c r="A20" s="3" t="inlineStr">
        <is>
          <t>Séquencement proposé</t>
        </is>
      </c>
    </row>
    <row r="21" ht="15" customHeight="1">
      <c r="A21" s="4" t="inlineStr">
        <is>
          <t>•  Sprint 1-2 : Feature 1 (persistance) — bloquant pour tout le reste.</t>
        </is>
      </c>
    </row>
    <row r="22" ht="15" customHeight="1">
      <c r="A22" s="4" t="inlineStr">
        <is>
          <t>•  Sprint 3 : Feature 6.1/6.3 (auth minimale + attribution auteur) + Feature 2 (audit trail).</t>
        </is>
      </c>
    </row>
    <row r="23" ht="15" customHeight="1">
      <c r="A23" s="4" t="inlineStr">
        <is>
          <t>•  Sprint 4 : Feature 3 (statuts et cycle de vie).</t>
        </is>
      </c>
    </row>
    <row r="24" ht="15" customHeight="1">
      <c r="A24" s="4" t="inlineStr">
        <is>
          <t>•  Sprint 5 : Feature 4 (tableau de bord).</t>
        </is>
      </c>
    </row>
    <row r="25" ht="15" customHeight="1">
      <c r="A25" s="4" t="inlineStr">
        <is>
          <t>•  Sprint 6+ : Feature 5 (intégration Sentinel/MDVM) et reste de Feature 6.</t>
        </is>
      </c>
    </row>
    <row r="27" ht="20" customHeight="1">
      <c r="A27" s="3" t="inlineStr">
        <is>
          <t>Risques</t>
        </is>
      </c>
    </row>
    <row r="28" ht="15" customHeight="1">
      <c r="A28" s="4" t="inlineStr">
        <is>
          <t>•  La Feature 5 dépend de la disponibilité d'un tenant Azure/Sentinel de test — à valider avant le sprint 6.</t>
        </is>
      </c>
    </row>
    <row r="29" ht="30" customHeight="1">
      <c r="A29" s="4" t="inlineStr">
        <is>
          <t>•  Le passage d'un outil 100% client-side à une architecture avec backend (Feature 1) est un changement structurant, à traiter comme un choix d'architecture explicite.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" customWidth="1" min="3" max="3"/>
    <col width="70" customWidth="1" min="4" max="4"/>
    <col width="10" customWidth="1" min="5" max="5"/>
    <col width="16" customWidth="1" min="6" max="6"/>
    <col width="16" customWidth="1" min="7" max="7"/>
    <col width="16" customWidth="1" min="8" max="8"/>
  </cols>
  <sheetData>
    <row r="1" ht="30" customHeight="1">
      <c r="A1" s="5" t="inlineStr">
        <is>
          <t>Feature ID</t>
        </is>
      </c>
      <c r="B1" s="5" t="inlineStr">
        <is>
          <t>Feature</t>
        </is>
      </c>
      <c r="C1" s="5" t="inlineStr">
        <is>
          <t>Tâche ID</t>
        </is>
      </c>
      <c r="D1" s="5" t="inlineStr">
        <is>
          <t>Tâche</t>
        </is>
      </c>
      <c r="E1" s="5" t="inlineStr">
        <is>
          <t>Priorité</t>
        </is>
      </c>
      <c r="F1" s="5" t="inlineStr">
        <is>
          <t>Estimation (pts)</t>
        </is>
      </c>
      <c r="G1" s="5" t="inlineStr">
        <is>
          <t>Sprint proposé</t>
        </is>
      </c>
      <c r="H1" s="5" t="inlineStr">
        <is>
          <t>Statut</t>
        </is>
      </c>
    </row>
    <row r="2" ht="30" customHeight="1">
      <c r="A2" s="6" t="inlineStr">
        <is>
          <t>F1</t>
        </is>
      </c>
      <c r="B2" s="7" t="inlineStr">
        <is>
          <t>Persistance des vulnérabilités et des billets</t>
        </is>
      </c>
      <c r="C2" s="8" t="inlineStr">
        <is>
          <t>1.1</t>
        </is>
      </c>
      <c r="D2" s="9" t="inlineStr">
        <is>
          <t>Concevoir le modèle de données persistant (vulnérabilité, contexte asset, contrôles, billet, historique)</t>
        </is>
      </c>
      <c r="E2" s="10" t="inlineStr">
        <is>
          <t>P0</t>
        </is>
      </c>
      <c r="F2" s="11" t="n">
        <v>3</v>
      </c>
      <c r="G2" s="8" t="inlineStr">
        <is>
          <t>Sprint 1-2</t>
        </is>
      </c>
      <c r="H2" s="8" t="inlineStr">
        <is>
          <t>À faire</t>
        </is>
      </c>
    </row>
    <row r="3" ht="30" customHeight="1">
      <c r="A3" s="12" t="n"/>
      <c r="B3" s="12" t="n"/>
      <c r="C3" s="8" t="inlineStr">
        <is>
          <t>1.2</t>
        </is>
      </c>
      <c r="D3" s="9" t="inlineStr">
        <is>
          <t>Mettre en place le backend de stockage (API + base de données) remplaçant l'état en mémoire</t>
        </is>
      </c>
      <c r="E3" s="10" t="inlineStr">
        <is>
          <t>P0</t>
        </is>
      </c>
      <c r="F3" s="11" t="n">
        <v>8</v>
      </c>
      <c r="G3" s="8" t="inlineStr">
        <is>
          <t>Sprint 1-2</t>
        </is>
      </c>
      <c r="H3" s="8" t="inlineStr">
        <is>
          <t>À faire</t>
        </is>
      </c>
    </row>
    <row r="4" ht="30" customHeight="1">
      <c r="A4" s="12" t="n"/>
      <c r="B4" s="12" t="n"/>
      <c r="C4" s="8" t="inlineStr">
        <is>
          <t>1.3</t>
        </is>
      </c>
      <c r="D4" s="9" t="inlineStr">
        <is>
          <t>Migrer le front-end pour charger/sauvegarder via l'API au lieu du state JS local</t>
        </is>
      </c>
      <c r="E4" s="10" t="inlineStr">
        <is>
          <t>P0</t>
        </is>
      </c>
      <c r="F4" s="11" t="n">
        <v>5</v>
      </c>
      <c r="G4" s="8" t="inlineStr">
        <is>
          <t>Sprint 1-2</t>
        </is>
      </c>
      <c r="H4" s="8" t="inlineStr">
        <is>
          <t>À faire</t>
        </is>
      </c>
    </row>
    <row r="5" ht="30" customHeight="1">
      <c r="A5" s="12" t="n"/>
      <c r="B5" s="12" t="n"/>
      <c r="C5" s="8" t="inlineStr">
        <is>
          <t>1.4</t>
        </is>
      </c>
      <c r="D5" s="9" t="inlineStr">
        <is>
          <t>Ajouter horodatage 'créé le' / 'modifié le' sur chaque enregistrement</t>
        </is>
      </c>
      <c r="E5" s="13" t="inlineStr">
        <is>
          <t>P1</t>
        </is>
      </c>
      <c r="F5" s="11" t="n">
        <v>2</v>
      </c>
      <c r="G5" s="8" t="inlineStr">
        <is>
          <t>Sprint 1-2</t>
        </is>
      </c>
      <c r="H5" s="8" t="inlineStr">
        <is>
          <t>À faire</t>
        </is>
      </c>
    </row>
    <row r="6" ht="30" customHeight="1">
      <c r="A6" s="14" t="n"/>
      <c r="B6" s="14" t="n"/>
      <c r="C6" s="8" t="inlineStr">
        <is>
          <t>1.5</t>
        </is>
      </c>
      <c r="D6" s="9" t="inlineStr">
        <is>
          <t>Gérer la reprise de session (rechargement de la liste au démarrage, pas de perte si onglet fermé)</t>
        </is>
      </c>
      <c r="E6" s="13" t="inlineStr">
        <is>
          <t>P1</t>
        </is>
      </c>
      <c r="F6" s="11" t="n">
        <v>3</v>
      </c>
      <c r="G6" s="8" t="inlineStr">
        <is>
          <t>Sprint 1-2</t>
        </is>
      </c>
      <c r="H6" s="8" t="inlineStr">
        <is>
          <t>À faire</t>
        </is>
      </c>
    </row>
    <row r="7" ht="30" customHeight="1">
      <c r="A7" s="6" t="inlineStr">
        <is>
          <t>F2</t>
        </is>
      </c>
      <c r="B7" s="7" t="inlineStr">
        <is>
          <t>Journal d'audit des décisions (audit trail)</t>
        </is>
      </c>
      <c r="C7" s="8" t="inlineStr">
        <is>
          <t>2.1</t>
        </is>
      </c>
      <c r="D7" s="9" t="inlineStr">
        <is>
          <t>Définir le schéma d'événement d'audit (acteur, action, valeur avant/après, horodatage, billet concerné)</t>
        </is>
      </c>
      <c r="E7" s="10" t="inlineStr">
        <is>
          <t>P0</t>
        </is>
      </c>
      <c r="F7" s="11" t="n">
        <v>2</v>
      </c>
      <c r="G7" s="8" t="inlineStr">
        <is>
          <t>Sprint 3</t>
        </is>
      </c>
      <c r="H7" s="8" t="inlineStr">
        <is>
          <t>À faire</t>
        </is>
      </c>
    </row>
    <row r="8" ht="30" customHeight="1">
      <c r="A8" s="12" t="n"/>
      <c r="B8" s="12" t="n"/>
      <c r="C8" s="8" t="inlineStr">
        <is>
          <t>2.2</t>
        </is>
      </c>
      <c r="D8" s="9" t="inlineStr">
        <is>
          <t>Journaliser chaque ajustement de score avec la justification déjà calculée</t>
        </is>
      </c>
      <c r="E8" s="10" t="inlineStr">
        <is>
          <t>P0</t>
        </is>
      </c>
      <c r="F8" s="11" t="n">
        <v>3</v>
      </c>
      <c r="G8" s="8" t="inlineStr">
        <is>
          <t>Sprint 3</t>
        </is>
      </c>
      <c r="H8" s="8" t="inlineStr">
        <is>
          <t>À faire</t>
        </is>
      </c>
    </row>
    <row r="9" ht="30" customHeight="1">
      <c r="A9" s="12" t="n"/>
      <c r="B9" s="12" t="n"/>
      <c r="C9" s="8" t="inlineStr">
        <is>
          <t>2.3</t>
        </is>
      </c>
      <c r="D9" s="9" t="inlineStr">
        <is>
          <t>Journaliser chaque bascule de contrôle compensatoire (EDR, MFA, segmentation, WAF, backup)</t>
        </is>
      </c>
      <c r="E9" s="13" t="inlineStr">
        <is>
          <t>P1</t>
        </is>
      </c>
      <c r="F9" s="11" t="n">
        <v>2</v>
      </c>
      <c r="G9" s="8" t="inlineStr">
        <is>
          <t>Sprint 3</t>
        </is>
      </c>
      <c r="H9" s="8" t="inlineStr">
        <is>
          <t>À faire</t>
        </is>
      </c>
    </row>
    <row r="10" ht="30" customHeight="1">
      <c r="A10" s="12" t="n"/>
      <c r="B10" s="12" t="n"/>
      <c r="C10" s="8" t="inlineStr">
        <is>
          <t>2.4</t>
        </is>
      </c>
      <c r="D10" s="9" t="inlineStr">
        <is>
          <t>Journaliser les régénérations de billet AI et les exports</t>
        </is>
      </c>
      <c r="E10" s="13" t="inlineStr">
        <is>
          <t>P1</t>
        </is>
      </c>
      <c r="F10" s="11" t="n">
        <v>2</v>
      </c>
      <c r="G10" s="8" t="inlineStr">
        <is>
          <t>Sprint 3</t>
        </is>
      </c>
      <c r="H10" s="8" t="inlineStr">
        <is>
          <t>À faire</t>
        </is>
      </c>
    </row>
    <row r="11" ht="30" customHeight="1">
      <c r="A11" s="12" t="n"/>
      <c r="B11" s="12" t="n"/>
      <c r="C11" s="8" t="inlineStr">
        <is>
          <t>2.5</t>
        </is>
      </c>
      <c r="D11" s="9" t="inlineStr">
        <is>
          <t>Rendre le journal immuable (append-only) et consultable par billet</t>
        </is>
      </c>
      <c r="E11" s="10" t="inlineStr">
        <is>
          <t>P0</t>
        </is>
      </c>
      <c r="F11" s="11" t="n">
        <v>5</v>
      </c>
      <c r="G11" s="8" t="inlineStr">
        <is>
          <t>Sprint 3</t>
        </is>
      </c>
      <c r="H11" s="8" t="inlineStr">
        <is>
          <t>À faire</t>
        </is>
      </c>
    </row>
    <row r="12" ht="30" customHeight="1">
      <c r="A12" s="14" t="n"/>
      <c r="B12" s="14" t="n"/>
      <c r="C12" s="8" t="inlineStr">
        <is>
          <t>2.6</t>
        </is>
      </c>
      <c r="D12" s="9" t="inlineStr">
        <is>
          <t>Exposer une vue 'historique' dans le panneau billet, listant les événements dans l'ordre chronologique</t>
        </is>
      </c>
      <c r="E12" s="15" t="inlineStr">
        <is>
          <t>P2</t>
        </is>
      </c>
      <c r="F12" s="11" t="n">
        <v>5</v>
      </c>
      <c r="G12" s="8" t="inlineStr">
        <is>
          <t>Sprint 3</t>
        </is>
      </c>
      <c r="H12" s="8" t="inlineStr">
        <is>
          <t>À faire</t>
        </is>
      </c>
    </row>
    <row r="13" ht="30" customHeight="1">
      <c r="A13" s="6" t="inlineStr">
        <is>
          <t>F3</t>
        </is>
      </c>
      <c r="B13" s="7" t="inlineStr">
        <is>
          <t>Cycle de vie et statuts des billets</t>
        </is>
      </c>
      <c r="C13" s="8" t="inlineStr">
        <is>
          <t>3.1</t>
        </is>
      </c>
      <c r="D13" s="9" t="inlineStr">
        <is>
          <t>Introduire un champ statut : Nouveau → En cours → En attente de patch → Résolu → Risque accepté</t>
        </is>
      </c>
      <c r="E13" s="10" t="inlineStr">
        <is>
          <t>P0</t>
        </is>
      </c>
      <c r="F13" s="11" t="n">
        <v>3</v>
      </c>
      <c r="G13" s="8" t="inlineStr">
        <is>
          <t>Sprint 4</t>
        </is>
      </c>
      <c r="H13" s="8" t="inlineStr">
        <is>
          <t>À faire</t>
        </is>
      </c>
    </row>
    <row r="14" ht="30" customHeight="1">
      <c r="A14" s="12" t="n"/>
      <c r="B14" s="12" t="n"/>
      <c r="C14" s="8" t="inlineStr">
        <is>
          <t>3.2</t>
        </is>
      </c>
      <c r="D14" s="9" t="inlineStr">
        <is>
          <t>Contraindre les transitions de statut valides (machine à états) et les journaliser (lien F2)</t>
        </is>
      </c>
      <c r="E14" s="13" t="inlineStr">
        <is>
          <t>P1</t>
        </is>
      </c>
      <c r="F14" s="11" t="n">
        <v>3</v>
      </c>
      <c r="G14" s="8" t="inlineStr">
        <is>
          <t>Sprint 4</t>
        </is>
      </c>
      <c r="H14" s="8" t="inlineStr">
        <is>
          <t>À faire</t>
        </is>
      </c>
    </row>
    <row r="15" ht="30" customHeight="1">
      <c r="A15" s="12" t="n"/>
      <c r="B15" s="12" t="n"/>
      <c r="C15" s="8" t="inlineStr">
        <is>
          <t>3.3</t>
        </is>
      </c>
      <c r="D15" s="9" t="inlineStr">
        <is>
          <t>Afficher le statut comme badge dans la liste de priorité et le filtrer</t>
        </is>
      </c>
      <c r="E15" s="13" t="inlineStr">
        <is>
          <t>P1</t>
        </is>
      </c>
      <c r="F15" s="11" t="n">
        <v>3</v>
      </c>
      <c r="G15" s="8" t="inlineStr">
        <is>
          <t>Sprint 4</t>
        </is>
      </c>
      <c r="H15" s="8" t="inlineStr">
        <is>
          <t>À faire</t>
        </is>
      </c>
    </row>
    <row r="16" ht="30" customHeight="1">
      <c r="A16" s="12" t="n"/>
      <c r="B16" s="12" t="n"/>
      <c r="C16" s="8" t="inlineStr">
        <is>
          <t>3.4</t>
        </is>
      </c>
      <c r="D16" s="9" t="inlineStr">
        <is>
          <t>Alerter visuellement les billets proches ou en dépassement de leur SLA</t>
        </is>
      </c>
      <c r="E16" s="13" t="inlineStr">
        <is>
          <t>P1</t>
        </is>
      </c>
      <c r="F16" s="11" t="n">
        <v>3</v>
      </c>
      <c r="G16" s="8" t="inlineStr">
        <is>
          <t>Sprint 4</t>
        </is>
      </c>
      <c r="H16" s="8" t="inlineStr">
        <is>
          <t>À faire</t>
        </is>
      </c>
    </row>
    <row r="17" ht="30" customHeight="1">
      <c r="A17" s="14" t="n"/>
      <c r="B17" s="14" t="n"/>
      <c r="C17" s="8" t="inlineStr">
        <is>
          <t>3.5</t>
        </is>
      </c>
      <c r="D17" s="9" t="inlineStr">
        <is>
          <t>Exiger une justification texte au passage en statut 'Risque accepté'</t>
        </is>
      </c>
      <c r="E17" s="15" t="inlineStr">
        <is>
          <t>P2</t>
        </is>
      </c>
      <c r="F17" s="11" t="n">
        <v>2</v>
      </c>
      <c r="G17" s="8" t="inlineStr">
        <is>
          <t>Sprint 4</t>
        </is>
      </c>
      <c r="H17" s="8" t="inlineStr">
        <is>
          <t>À faire</t>
        </is>
      </c>
    </row>
    <row r="18" ht="30" customHeight="1">
      <c r="A18" s="6" t="inlineStr">
        <is>
          <t>F4</t>
        </is>
      </c>
      <c r="B18" s="7" t="inlineStr">
        <is>
          <t>Tableau de bord de visibilité globale</t>
        </is>
      </c>
      <c r="C18" s="8" t="inlineStr">
        <is>
          <t>4.1</t>
        </is>
      </c>
      <c r="D18" s="9" t="inlineStr">
        <is>
          <t>Étendre les KPI actuels (crit/haute/moyenne/faible) avec une tendance sur 30/90 jours</t>
        </is>
      </c>
      <c r="E18" s="13" t="inlineStr">
        <is>
          <t>P1</t>
        </is>
      </c>
      <c r="F18" s="11" t="n">
        <v>5</v>
      </c>
      <c r="G18" s="8" t="inlineStr">
        <is>
          <t>Sprint 5</t>
        </is>
      </c>
      <c r="H18" s="8" t="inlineStr">
        <is>
          <t>À faire</t>
        </is>
      </c>
    </row>
    <row r="19" ht="30" customHeight="1">
      <c r="A19" s="12" t="n"/>
      <c r="B19" s="12" t="n"/>
      <c r="C19" s="8" t="inlineStr">
        <is>
          <t>4.2</t>
        </is>
      </c>
      <c r="D19" s="9" t="inlineStr">
        <is>
          <t>Ajouter un indicateur de conformité SLA (% de billets résolus dans les délais par priorité)</t>
        </is>
      </c>
      <c r="E19" s="10" t="inlineStr">
        <is>
          <t>P0</t>
        </is>
      </c>
      <c r="F19" s="11" t="n">
        <v>5</v>
      </c>
      <c r="G19" s="8" t="inlineStr">
        <is>
          <t>Sprint 5</t>
        </is>
      </c>
      <c r="H19" s="8" t="inlineStr">
        <is>
          <t>À faire</t>
        </is>
      </c>
    </row>
    <row r="20" ht="30" customHeight="1">
      <c r="A20" s="12" t="n"/>
      <c r="B20" s="12" t="n"/>
      <c r="C20" s="8" t="inlineStr">
        <is>
          <t>4.3</t>
        </is>
      </c>
      <c r="D20" s="9" t="inlineStr">
        <is>
          <t>Ajouter des filtres/segments (par asset, type d'exposition, équipe responsable)</t>
        </is>
      </c>
      <c r="E20" s="15" t="inlineStr">
        <is>
          <t>P2</t>
        </is>
      </c>
      <c r="F20" s="11" t="n">
        <v>3</v>
      </c>
      <c r="G20" s="8" t="inlineStr">
        <is>
          <t>Sprint 5</t>
        </is>
      </c>
      <c r="H20" s="8" t="inlineStr">
        <is>
          <t>À faire</t>
        </is>
      </c>
    </row>
    <row r="21" ht="30" customHeight="1">
      <c r="A21" s="12" t="n"/>
      <c r="B21" s="12" t="n"/>
      <c r="C21" s="8" t="inlineStr">
        <is>
          <t>4.4</t>
        </is>
      </c>
      <c r="D21" s="9" t="inlineStr">
        <is>
          <t>Ajouter une vue 'delta CVSS → score ajusté' agrégée pour valider la pertinence du moteur de scoring</t>
        </is>
      </c>
      <c r="E21" s="15" t="inlineStr">
        <is>
          <t>P2</t>
        </is>
      </c>
      <c r="F21" s="11" t="n">
        <v>3</v>
      </c>
      <c r="G21" s="8" t="inlineStr">
        <is>
          <t>Sprint 5</t>
        </is>
      </c>
      <c r="H21" s="8" t="inlineStr">
        <is>
          <t>À faire</t>
        </is>
      </c>
    </row>
    <row r="22" ht="30" customHeight="1">
      <c r="A22" s="14" t="n"/>
      <c r="B22" s="14" t="n"/>
      <c r="C22" s="8" t="inlineStr">
        <is>
          <t>4.5</t>
        </is>
      </c>
      <c r="D22" s="9" t="inlineStr">
        <is>
          <t>Export du tableau de bord en rapport exécutif (PDF/PPT) pour le RSSI</t>
        </is>
      </c>
      <c r="E22" s="15" t="inlineStr">
        <is>
          <t>P2</t>
        </is>
      </c>
      <c r="F22" s="11" t="n">
        <v>5</v>
      </c>
      <c r="G22" s="8" t="inlineStr">
        <is>
          <t>Sprint 5</t>
        </is>
      </c>
      <c r="H22" s="8" t="inlineStr">
        <is>
          <t>À faire</t>
        </is>
      </c>
    </row>
    <row r="23" ht="30" customHeight="1">
      <c r="A23" s="6" t="inlineStr">
        <is>
          <t>F5</t>
        </is>
      </c>
      <c r="B23" s="7" t="inlineStr">
        <is>
          <t>Intégration Microsoft Sentinel / MDVM</t>
        </is>
      </c>
      <c r="C23" s="8" t="inlineStr">
        <is>
          <t>5.1</t>
        </is>
      </c>
      <c r="D23" s="9" t="inlineStr">
        <is>
          <t>Connecter VulnContext à l'API Microsoft Sentinel (authentification, workspace)</t>
        </is>
      </c>
      <c r="E23" s="13" t="inlineStr">
        <is>
          <t>P1</t>
        </is>
      </c>
      <c r="F23" s="11" t="n">
        <v>8</v>
      </c>
      <c r="G23" s="8" t="inlineStr">
        <is>
          <t>Sprint 6+</t>
        </is>
      </c>
      <c r="H23" s="8" t="inlineStr">
        <is>
          <t>À faire</t>
        </is>
      </c>
    </row>
    <row r="24" ht="30" customHeight="1">
      <c r="A24" s="12" t="n"/>
      <c r="B24" s="12" t="n"/>
      <c r="C24" s="8" t="inlineStr">
        <is>
          <t>5.2</t>
        </is>
      </c>
      <c r="D24" s="9" t="inlineStr">
        <is>
          <t>Permettre l'exécution des requêtes KQL générées directement depuis le billet, avec affichage des résultats</t>
        </is>
      </c>
      <c r="E24" s="13" t="inlineStr">
        <is>
          <t>P1</t>
        </is>
      </c>
      <c r="F24" s="11" t="n">
        <v>5</v>
      </c>
      <c r="G24" s="8" t="inlineStr">
        <is>
          <t>Sprint 6+</t>
        </is>
      </c>
      <c r="H24" s="8" t="inlineStr">
        <is>
          <t>À faire</t>
        </is>
      </c>
    </row>
    <row r="25" ht="30" customHeight="1">
      <c r="A25" s="12" t="n"/>
      <c r="B25" s="12" t="n"/>
      <c r="C25" s="8" t="inlineStr">
        <is>
          <t>5.3</t>
        </is>
      </c>
      <c r="D25" s="9" t="inlineStr">
        <is>
          <t>Créer automatiquement un incident Sentinel lié au billet (référence croisée bidirectionnelle)</t>
        </is>
      </c>
      <c r="E25" s="15" t="inlineStr">
        <is>
          <t>P2</t>
        </is>
      </c>
      <c r="F25" s="11" t="n">
        <v>5</v>
      </c>
      <c r="G25" s="8" t="inlineStr">
        <is>
          <t>Sprint 6+</t>
        </is>
      </c>
      <c r="H25" s="8" t="inlineStr">
        <is>
          <t>À faire</t>
        </is>
      </c>
    </row>
    <row r="26" ht="30" customHeight="1">
      <c r="A26" s="14" t="n"/>
      <c r="B26" s="14" t="n"/>
      <c r="C26" s="8" t="inlineStr">
        <is>
          <t>5.4</t>
        </is>
      </c>
      <c r="D26" s="9" t="inlineStr">
        <is>
          <t>Synchroniser le statut MDVM (patch appliqué / CVE toujours présente) avec le statut du billet (F3)</t>
        </is>
      </c>
      <c r="E26" s="15" t="inlineStr">
        <is>
          <t>P2</t>
        </is>
      </c>
      <c r="F26" s="11" t="n">
        <v>5</v>
      </c>
      <c r="G26" s="8" t="inlineStr">
        <is>
          <t>Sprint 6+</t>
        </is>
      </c>
      <c r="H26" s="8" t="inlineStr">
        <is>
          <t>À faire</t>
        </is>
      </c>
    </row>
    <row r="27" ht="30" customHeight="1">
      <c r="A27" s="6" t="inlineStr">
        <is>
          <t>F6</t>
        </is>
      </c>
      <c r="B27" s="7" t="inlineStr">
        <is>
          <t>Contrôle d'accès et traçabilité multi-analyste</t>
        </is>
      </c>
      <c r="C27" s="8" t="inlineStr">
        <is>
          <t>6.1</t>
        </is>
      </c>
      <c r="D27" s="9" t="inlineStr">
        <is>
          <t>Ajouter l'authentification des utilisateurs (SSO / Azure AD)</t>
        </is>
      </c>
      <c r="E27" s="10" t="inlineStr">
        <is>
          <t>P0</t>
        </is>
      </c>
      <c r="F27" s="11" t="n">
        <v>8</v>
      </c>
      <c r="G27" s="8" t="inlineStr">
        <is>
          <t>Sprint 3</t>
        </is>
      </c>
      <c r="H27" s="8" t="inlineStr">
        <is>
          <t>À faire</t>
        </is>
      </c>
    </row>
    <row r="28" ht="30" customHeight="1">
      <c r="A28" s="12" t="n"/>
      <c r="B28" s="12" t="n"/>
      <c r="C28" s="8" t="inlineStr">
        <is>
          <t>6.2</t>
        </is>
      </c>
      <c r="D28" s="9" t="inlineStr">
        <is>
          <t>Définir les rôles (Analyste, RSSI, Lecture seule) et les permissions associées</t>
        </is>
      </c>
      <c r="E28" s="13" t="inlineStr">
        <is>
          <t>P1</t>
        </is>
      </c>
      <c r="F28" s="11" t="n">
        <v>5</v>
      </c>
      <c r="G28" s="8" t="inlineStr">
        <is>
          <t>Sprint 6+</t>
        </is>
      </c>
      <c r="H28" s="8" t="inlineStr">
        <is>
          <t>À faire</t>
        </is>
      </c>
    </row>
    <row r="29" ht="30" customHeight="1">
      <c r="A29" s="12" t="n"/>
      <c r="B29" s="12" t="n"/>
      <c r="C29" s="8" t="inlineStr">
        <is>
          <t>6.3</t>
        </is>
      </c>
      <c r="D29" s="9" t="inlineStr">
        <is>
          <t>Attribuer un auteur à chaque création/modification de vulnérabilité et de billet</t>
        </is>
      </c>
      <c r="E29" s="10" t="inlineStr">
        <is>
          <t>P0</t>
        </is>
      </c>
      <c r="F29" s="11" t="n">
        <v>3</v>
      </c>
      <c r="G29" s="8" t="inlineStr">
        <is>
          <t>Sprint 3</t>
        </is>
      </c>
      <c r="H29" s="8" t="inlineStr">
        <is>
          <t>À faire</t>
        </is>
      </c>
    </row>
    <row r="30" ht="30" customHeight="1">
      <c r="A30" s="14" t="n"/>
      <c r="B30" s="14" t="n"/>
      <c r="C30" s="8" t="inlineStr">
        <is>
          <t>6.4</t>
        </is>
      </c>
      <c r="D30" s="9" t="inlineStr">
        <is>
          <t>Vue 'activité par analyste' pour le RSSI (charge de travail, délais de traitement)</t>
        </is>
      </c>
      <c r="E30" s="15" t="inlineStr">
        <is>
          <t>P2</t>
        </is>
      </c>
      <c r="F30" s="11" t="n">
        <v>5</v>
      </c>
      <c r="G30" s="8" t="inlineStr">
        <is>
          <t>Sprint 6+</t>
        </is>
      </c>
      <c r="H30" s="8" t="inlineStr">
        <is>
          <t>À faire</t>
        </is>
      </c>
    </row>
    <row r="32">
      <c r="A32" s="2" t="inlineStr">
        <is>
          <t>Note : la colonne Statut est à mettre à jour par l'équipe au fil de l'avancement (liste déroulante).</t>
        </is>
      </c>
    </row>
  </sheetData>
  <mergeCells count="12">
    <mergeCell ref="A27:A30"/>
    <mergeCell ref="A18:A22"/>
    <mergeCell ref="B18:B22"/>
    <mergeCell ref="A23:A26"/>
    <mergeCell ref="B23:B26"/>
    <mergeCell ref="B7:B12"/>
    <mergeCell ref="A2:A6"/>
    <mergeCell ref="A7:A12"/>
    <mergeCell ref="B13:B17"/>
    <mergeCell ref="A13:A17"/>
    <mergeCell ref="B27:B30"/>
    <mergeCell ref="B2:B6"/>
  </mergeCells>
  <dataValidations count="1">
    <dataValidation sqref="H2:H30" showDropDown="0" showInputMessage="0" showErrorMessage="0" allowBlank="1" type="list">
      <formula1>"À faire,En cours,En attente de patch,Résolu,Risque accepté"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4" customWidth="1" min="4" max="4"/>
  </cols>
  <sheetData>
    <row r="1">
      <c r="A1" s="1" t="inlineStr">
        <is>
          <t>Synthèse du backlog</t>
        </is>
      </c>
    </row>
    <row r="3">
      <c r="A3" s="16" t="inlineStr">
        <is>
          <t>Par Feature</t>
        </is>
      </c>
    </row>
    <row r="4">
      <c r="A4" s="17" t="inlineStr">
        <is>
          <t>Feature ID</t>
        </is>
      </c>
      <c r="B4" s="17" t="inlineStr">
        <is>
          <t>Feature</t>
        </is>
      </c>
      <c r="C4" s="17" t="inlineStr">
        <is>
          <t>Nb tâches</t>
        </is>
      </c>
      <c r="D4" s="17" t="inlineStr">
        <is>
          <t>Total points</t>
        </is>
      </c>
    </row>
    <row r="5">
      <c r="A5" s="18" t="inlineStr">
        <is>
          <t>F1</t>
        </is>
      </c>
      <c r="B5" s="18" t="inlineStr">
        <is>
          <t>Persistance des vulnérabilités et des billets</t>
        </is>
      </c>
      <c r="C5" s="19">
        <f>COUNTIF(Backlog!$A$2:$A$30,A5)</f>
        <v/>
      </c>
      <c r="D5" s="19">
        <f>SUMIF(Backlog!$A$2:$A$30,A5,Backlog!$F$2:$F$30)</f>
        <v/>
      </c>
    </row>
    <row r="6">
      <c r="A6" s="18" t="inlineStr">
        <is>
          <t>F2</t>
        </is>
      </c>
      <c r="B6" s="18" t="inlineStr">
        <is>
          <t>Journal d'audit des décisions (audit trail)</t>
        </is>
      </c>
      <c r="C6" s="19">
        <f>COUNTIF(Backlog!$A$2:$A$30,A6)</f>
        <v/>
      </c>
      <c r="D6" s="19">
        <f>SUMIF(Backlog!$A$2:$A$30,A6,Backlog!$F$2:$F$30)</f>
        <v/>
      </c>
    </row>
    <row r="7">
      <c r="A7" s="18" t="inlineStr">
        <is>
          <t>F3</t>
        </is>
      </c>
      <c r="B7" s="18" t="inlineStr">
        <is>
          <t>Cycle de vie et statuts des billets</t>
        </is>
      </c>
      <c r="C7" s="19">
        <f>COUNTIF(Backlog!$A$2:$A$30,A7)</f>
        <v/>
      </c>
      <c r="D7" s="19">
        <f>SUMIF(Backlog!$A$2:$A$30,A7,Backlog!$F$2:$F$30)</f>
        <v/>
      </c>
    </row>
    <row r="8">
      <c r="A8" s="18" t="inlineStr">
        <is>
          <t>F4</t>
        </is>
      </c>
      <c r="B8" s="18" t="inlineStr">
        <is>
          <t>Tableau de bord de visibilité globale</t>
        </is>
      </c>
      <c r="C8" s="19">
        <f>COUNTIF(Backlog!$A$2:$A$30,A8)</f>
        <v/>
      </c>
      <c r="D8" s="19">
        <f>SUMIF(Backlog!$A$2:$A$30,A8,Backlog!$F$2:$F$30)</f>
        <v/>
      </c>
    </row>
    <row r="9">
      <c r="A9" s="18" t="inlineStr">
        <is>
          <t>F5</t>
        </is>
      </c>
      <c r="B9" s="18" t="inlineStr">
        <is>
          <t>Intégration Microsoft Sentinel / MDVM</t>
        </is>
      </c>
      <c r="C9" s="19">
        <f>COUNTIF(Backlog!$A$2:$A$30,A9)</f>
        <v/>
      </c>
      <c r="D9" s="19">
        <f>SUMIF(Backlog!$A$2:$A$30,A9,Backlog!$F$2:$F$30)</f>
        <v/>
      </c>
    </row>
    <row r="10">
      <c r="A10" s="18" t="inlineStr">
        <is>
          <t>F6</t>
        </is>
      </c>
      <c r="B10" s="18" t="inlineStr">
        <is>
          <t>Contrôle d'accès et traçabilité multi-analyste</t>
        </is>
      </c>
      <c r="C10" s="19">
        <f>COUNTIF(Backlog!$A$2:$A$30,A10)</f>
        <v/>
      </c>
      <c r="D10" s="19">
        <f>SUMIF(Backlog!$A$2:$A$30,A10,Backlog!$F$2:$F$30)</f>
        <v/>
      </c>
    </row>
    <row r="11">
      <c r="A11" s="20" t="n"/>
      <c r="B11" s="21" t="inlineStr">
        <is>
          <t>Total</t>
        </is>
      </c>
      <c r="C11" s="21">
        <f>SUM(C5:C10)</f>
        <v/>
      </c>
      <c r="D11" s="21">
        <f>SUM(D5:D10)</f>
        <v/>
      </c>
    </row>
    <row r="14">
      <c r="A14" s="16" t="inlineStr">
        <is>
          <t>Par Priorité</t>
        </is>
      </c>
    </row>
    <row r="15">
      <c r="A15" s="17" t="inlineStr">
        <is>
          <t>Priorité</t>
        </is>
      </c>
      <c r="B15" s="17" t="inlineStr">
        <is>
          <t>Nb tâches</t>
        </is>
      </c>
      <c r="C15" s="17" t="inlineStr">
        <is>
          <t>Total points</t>
        </is>
      </c>
      <c r="D15" s="17" t="inlineStr"/>
    </row>
    <row r="16">
      <c r="A16" s="22" t="inlineStr">
        <is>
          <t>P0</t>
        </is>
      </c>
      <c r="B16" s="19">
        <f>COUNTIF(Backlog!$E$2:$E$30,A16)</f>
        <v/>
      </c>
      <c r="C16" s="19">
        <f>SUMIF(Backlog!$E$2:$E$30,A16,Backlog!$F$2:$F$30)</f>
        <v/>
      </c>
    </row>
    <row r="17">
      <c r="A17" s="23" t="inlineStr">
        <is>
          <t>P1</t>
        </is>
      </c>
      <c r="B17" s="19">
        <f>COUNTIF(Backlog!$E$2:$E$30,A17)</f>
        <v/>
      </c>
      <c r="C17" s="19">
        <f>SUMIF(Backlog!$E$2:$E$30,A17,Backlog!$F$2:$F$30)</f>
        <v/>
      </c>
    </row>
    <row r="18">
      <c r="A18" s="24" t="inlineStr">
        <is>
          <t>P2</t>
        </is>
      </c>
      <c r="B18" s="19">
        <f>COUNTIF(Backlog!$E$2:$E$30,A18)</f>
        <v/>
      </c>
      <c r="C18" s="19">
        <f>SUMIF(Backlog!$E$2:$E$30,A18,Backlog!$F$2:$F$30)</f>
        <v/>
      </c>
    </row>
  </sheetData>
  <mergeCells count="3">
    <mergeCell ref="A1:D1"/>
    <mergeCell ref="A3:D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2026-08-11T17:54:45Z</dcterms:created>
  <dcterms:modified xsi:type="dcterms:W3CDTF">2026-08-11T17:54:45Z</dcterms:modified>
</cp:coreProperties>
</file>